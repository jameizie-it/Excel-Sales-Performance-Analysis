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mei\OneDrive\Desktop\30_Days_DS_DT\day_7 - MP\"/>
    </mc:Choice>
  </mc:AlternateContent>
  <xr:revisionPtr revIDLastSave="0" documentId="13_ncr:1_{8A4D467B-1B3C-4530-A595-6B66C2AD3BE6}" xr6:coauthVersionLast="47" xr6:coauthVersionMax="47" xr10:uidLastSave="{00000000-0000-0000-0000-000000000000}"/>
  <bookViews>
    <workbookView xWindow="-120" yWindow="-120" windowWidth="29040" windowHeight="15840" activeTab="5" xr2:uid="{0496CA5B-3BFE-4F21-85DC-D93B2D3B07B3}"/>
  </bookViews>
  <sheets>
    <sheet name="Documentation" sheetId="8" r:id="rId1"/>
    <sheet name="Raw_Sales_Data" sheetId="3" r:id="rId2"/>
    <sheet name="Raw_Customer_Lookup" sheetId="4" r:id="rId3"/>
    <sheet name="Data_Processing" sheetId="1" r:id="rId4"/>
    <sheet name="Pivots_Calculations" sheetId="6" r:id="rId5"/>
    <sheet name="Insights" sheetId="7" r:id="rId6"/>
  </sheets>
  <definedNames>
    <definedName name="_xlnm._FilterDatabase" localSheetId="3" hidden="1">Data_Processing!$A$1:$J$17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6" l="1"/>
  <c r="H7" i="6"/>
  <c r="H6" i="6"/>
  <c r="H5" i="6"/>
  <c r="H3" i="6"/>
  <c r="H4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H9" i="6" l="1"/>
</calcChain>
</file>

<file path=xl/sharedStrings.xml><?xml version="1.0" encoding="utf-8"?>
<sst xmlns="http://schemas.openxmlformats.org/spreadsheetml/2006/main" count="268" uniqueCount="108">
  <si>
    <t>Order ID</t>
  </si>
  <si>
    <t>Order Date</t>
  </si>
  <si>
    <t>Customer ID</t>
  </si>
  <si>
    <t>Region</t>
  </si>
  <si>
    <t>Product</t>
  </si>
  <si>
    <t>Category</t>
  </si>
  <si>
    <t>Sales</t>
  </si>
  <si>
    <t>Quantity</t>
  </si>
  <si>
    <t>Profit</t>
  </si>
  <si>
    <t>C-502</t>
  </si>
  <si>
    <t>North</t>
  </si>
  <si>
    <t>Ergo Chair</t>
  </si>
  <si>
    <t>Furniture</t>
  </si>
  <si>
    <t>C-501</t>
  </si>
  <si>
    <t>West</t>
  </si>
  <si>
    <t>iPhone 15</t>
  </si>
  <si>
    <t>Tech</t>
  </si>
  <si>
    <t>C-503</t>
  </si>
  <si>
    <t>East</t>
  </si>
  <si>
    <t>Basic Notebook</t>
  </si>
  <si>
    <t>Office</t>
  </si>
  <si>
    <t>C-504</t>
  </si>
  <si>
    <t>South</t>
  </si>
  <si>
    <t>Monitor Stand</t>
  </si>
  <si>
    <t>Desk Lamp</t>
  </si>
  <si>
    <t>C-505</t>
  </si>
  <si>
    <t>Macbook Pro</t>
  </si>
  <si>
    <t>USB-C Cable</t>
  </si>
  <si>
    <t>C-506</t>
  </si>
  <si>
    <t>Coffee Table</t>
  </si>
  <si>
    <t>Ballpoint Pens</t>
  </si>
  <si>
    <t>Wireless Mouse</t>
  </si>
  <si>
    <t>Office Rug</t>
  </si>
  <si>
    <t>C-507</t>
  </si>
  <si>
    <t>Web Cam</t>
  </si>
  <si>
    <t>C-508</t>
  </si>
  <si>
    <t>Paper Shredd.</t>
  </si>
  <si>
    <t>iPhone Case</t>
  </si>
  <si>
    <t>Standing Desk</t>
  </si>
  <si>
    <t>Customer Name</t>
  </si>
  <si>
    <t>Segment</t>
  </si>
  <si>
    <t>Alice Johnson</t>
  </si>
  <si>
    <t>Consumer</t>
  </si>
  <si>
    <t>Bob Smith</t>
  </si>
  <si>
    <t>Corporate</t>
  </si>
  <si>
    <t>Charlie Brown</t>
  </si>
  <si>
    <t>Home Office</t>
  </si>
  <si>
    <t>David Miller</t>
  </si>
  <si>
    <t>Eve Davis</t>
  </si>
  <si>
    <t>Frank Wilson</t>
  </si>
  <si>
    <t>Grace Lee</t>
  </si>
  <si>
    <t>Henry Ford</t>
  </si>
  <si>
    <t>Metric</t>
  </si>
  <si>
    <t>Total Sales</t>
  </si>
  <si>
    <t>Average Order Value</t>
  </si>
  <si>
    <t>Total Orders</t>
  </si>
  <si>
    <t>Highest Sales</t>
  </si>
  <si>
    <t>Lowest Sales</t>
  </si>
  <si>
    <t>Total Profit</t>
  </si>
  <si>
    <t>Profit Margin</t>
  </si>
  <si>
    <t>Grand Total</t>
  </si>
  <si>
    <t>(All)</t>
  </si>
  <si>
    <t>Jan</t>
  </si>
  <si>
    <t>Feb</t>
  </si>
  <si>
    <t>Mar</t>
  </si>
  <si>
    <t>Apr</t>
  </si>
  <si>
    <t>May</t>
  </si>
  <si>
    <t>Summary Metrics</t>
  </si>
  <si>
    <t>Insights</t>
  </si>
  <si>
    <t>Number</t>
  </si>
  <si>
    <t>The West region generates the highest sales, driven largely by high-value tech products like the MacBook Pro and iPhone.</t>
  </si>
  <si>
    <t>Tech products produce the largest individual transactions, while Office supplies generate smaller but more frequent orders.</t>
  </si>
  <si>
    <t>One product (Desk Lamp) generated negative profit, indicating potential pricing or cost issues.</t>
  </si>
  <si>
    <t>Values</t>
  </si>
  <si>
    <t xml:space="preserve">Total Orders </t>
  </si>
  <si>
    <t xml:space="preserve">Region </t>
  </si>
  <si>
    <t xml:space="preserve">Products </t>
  </si>
  <si>
    <t xml:space="preserve">Month </t>
  </si>
  <si>
    <t xml:space="preserve">Category  </t>
  </si>
  <si>
    <t xml:space="preserve">Revenue </t>
  </si>
  <si>
    <t>Item</t>
  </si>
  <si>
    <t>Details</t>
  </si>
  <si>
    <t>Project Overview</t>
  </si>
  <si>
    <t>Objective</t>
  </si>
  <si>
    <t>Analyze Q1-Q2 2025 sales data to identify regional trends and product profitability.</t>
  </si>
  <si>
    <t>Author</t>
  </si>
  <si>
    <t>Tools Used</t>
  </si>
  <si>
    <t>Excel (XLOOKUP, Pivot Tables, Conditional Formatting, Power Query)</t>
  </si>
  <si>
    <t>Data Source</t>
  </si>
  <si>
    <t>Sales Data</t>
  </si>
  <si>
    <t>16-row transactional record including Order ID, Dates, and Financials.</t>
  </si>
  <si>
    <t>Customer Lookup</t>
  </si>
  <si>
    <t>Relational table containing Customer Names and Segments.</t>
  </si>
  <si>
    <t>Data Dictionary</t>
  </si>
  <si>
    <t>Unique transaction identifier (Primary Key).</t>
  </si>
  <si>
    <t>Geographic sales territory (North, South, East, West).</t>
  </si>
  <si>
    <t>Product grouping (Furniture, Technology, Office Supplies).</t>
  </si>
  <si>
    <t>Sales / Profit</t>
  </si>
  <si>
    <t>Financial metrics in USD ($).</t>
  </si>
  <si>
    <t>Customer type joined via XLOOKUP (Consumer, Corporate, Home Office).</t>
  </si>
  <si>
    <t>Analysis Log</t>
  </si>
  <si>
    <t>Data Cleaning</t>
  </si>
  <si>
    <t>Removed duplicate for Order #1006; imputed missing quantity for #1011.</t>
  </si>
  <si>
    <t>Joins</t>
  </si>
  <si>
    <t>Performed XLOOKUP on 'Customer ID' to pull Name and Segment into Sales sheet.</t>
  </si>
  <si>
    <t>Calculations</t>
  </si>
  <si>
    <t>Defined 'Profit Margin %' as Total Profit / Total Sales.</t>
  </si>
  <si>
    <t>Jameizie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</si>
</sst>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0" xfId="0" applyFont="1" applyBorder="1" applyAlignment="1">
      <alignment vertical="center" wrapText="1" readingOrder="1"/>
    </xf>
    <xf numFmtId="0" fontId="0" fillId="0" borderId="8" xfId="0" applyBorder="1"/>
    <xf numFmtId="0" fontId="1" fillId="0" borderId="9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1" fillId="0" borderId="10" xfId="0" applyFont="1" applyBorder="1" applyAlignment="1">
      <alignment vertical="center" wrapText="1" readingOrder="1"/>
    </xf>
    <xf numFmtId="0" fontId="0" fillId="0" borderId="12" xfId="0" applyBorder="1" applyAlignment="1">
      <alignment wrapText="1"/>
    </xf>
    <xf numFmtId="0" fontId="0" fillId="0" borderId="8" xfId="0" applyBorder="1" applyAlignment="1">
      <alignment wrapText="1"/>
    </xf>
    <xf numFmtId="10" fontId="0" fillId="0" borderId="8" xfId="0" applyNumberFormat="1" applyBorder="1"/>
    <xf numFmtId="2" fontId="0" fillId="0" borderId="5" xfId="0" applyNumberFormat="1" applyBorder="1" applyAlignment="1">
      <alignment wrapText="1"/>
    </xf>
    <xf numFmtId="44" fontId="0" fillId="0" borderId="0" xfId="0" applyNumberFormat="1"/>
    <xf numFmtId="0" fontId="0" fillId="2" borderId="0" xfId="0" applyFill="1" applyAlignment="1">
      <alignment horizontal="left"/>
    </xf>
    <xf numFmtId="44" fontId="0" fillId="2" borderId="0" xfId="0" applyNumberFormat="1" applyFill="1"/>
    <xf numFmtId="0" fontId="0" fillId="2" borderId="0" xfId="0" applyFill="1"/>
    <xf numFmtId="0" fontId="3" fillId="0" borderId="0" xfId="0" applyFont="1"/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0" fontId="0" fillId="0" borderId="0" xfId="0" applyNumberFormat="1"/>
    <xf numFmtId="0" fontId="3" fillId="0" borderId="12" xfId="0" applyFont="1" applyBorder="1"/>
    <xf numFmtId="0" fontId="0" fillId="0" borderId="13" xfId="0" applyBorder="1"/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vertical="center" wrapText="1" readingOrder="1"/>
    </xf>
    <xf numFmtId="0" fontId="1" fillId="0" borderId="10" xfId="0" applyFont="1" applyBorder="1" applyAlignment="1">
      <alignment horizontal="left" vertical="center" wrapText="1" indent="1" readingOrder="1"/>
    </xf>
    <xf numFmtId="0" fontId="1" fillId="0" borderId="14" xfId="0" applyFont="1" applyBorder="1" applyAlignment="1">
      <alignment vertical="center" wrapText="1" readingOrder="1"/>
    </xf>
    <xf numFmtId="0" fontId="1" fillId="0" borderId="15" xfId="0" applyFont="1" applyBorder="1" applyAlignment="1">
      <alignment horizontal="left" vertical="center" wrapText="1" indent="1" readingOrder="1"/>
    </xf>
    <xf numFmtId="0" fontId="1" fillId="0" borderId="16" xfId="0" applyFont="1" applyBorder="1" applyAlignment="1">
      <alignment vertical="center" wrapText="1" readingOrder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4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34" formatCode="_(&quot;$&quot;* #,##0.00_);_(&quot;$&quot;* \(#,##0.00\);_(&quot;$&quot;* &quot;-&quot;??_);_(@_)"/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[project1.xlsx]Pivots_Calculations!PivotTable5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Pivots_Calculations!$E$19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Pivots_Calculations!$D$20:$D$25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Pivots_Calculations!$E$20:$E$25</c:f>
              <c:numCache>
                <c:formatCode>_("$"* #,##0.00_);_("$"* \(#,##0.00\);_("$"* "-"??_);_(@_)</c:formatCode>
                <c:ptCount val="5"/>
                <c:pt idx="0">
                  <c:v>1299.5</c:v>
                </c:pt>
                <c:pt idx="1">
                  <c:v>1970</c:v>
                </c:pt>
                <c:pt idx="2">
                  <c:v>37</c:v>
                </c:pt>
                <c:pt idx="3">
                  <c:v>200</c:v>
                </c:pt>
                <c:pt idx="4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7-4E23-A8A5-C9A151BB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032416"/>
        <c:axId val="923032896"/>
      </c:lineChart>
      <c:catAx>
        <c:axId val="92303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32896"/>
        <c:crosses val="autoZero"/>
        <c:auto val="1"/>
        <c:lblAlgn val="ctr"/>
        <c:lblOffset val="100"/>
        <c:noMultiLvlLbl val="0"/>
      </c:catAx>
      <c:valAx>
        <c:axId val="9230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3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[project1.xlsx]Pivots_Calculations!PivotTable1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Pivots_Calculations!$B$3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Pivots_Calculations!$A$4:$A$8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Pivots_Calculations!$B$4:$B$8</c:f>
              <c:numCache>
                <c:formatCode>_("$"* #,##0.00_);_("$"* \(#,##0.00\);_("$"* "-"??_);_(@_)</c:formatCode>
                <c:ptCount val="4"/>
                <c:pt idx="0">
                  <c:v>2904</c:v>
                </c:pt>
                <c:pt idx="1">
                  <c:v>587.5</c:v>
                </c:pt>
                <c:pt idx="2">
                  <c:v>395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B-42D5-8669-A989D238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219296"/>
        <c:axId val="929220736"/>
      </c:barChart>
      <c:catAx>
        <c:axId val="92921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20736"/>
        <c:crosses val="autoZero"/>
        <c:auto val="1"/>
        <c:lblAlgn val="ctr"/>
        <c:lblOffset val="100"/>
        <c:noMultiLvlLbl val="0"/>
      </c:catAx>
      <c:valAx>
        <c:axId val="929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1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10</xdr:row>
      <xdr:rowOff>28575</xdr:rowOff>
    </xdr:from>
    <xdr:to>
      <xdr:col>16</xdr:col>
      <xdr:colOff>95249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E9A75-CAD6-4170-B12A-A19039F6D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28574</xdr:colOff>
      <xdr:row>0</xdr:row>
      <xdr:rowOff>28575</xdr:rowOff>
    </xdr:from>
    <xdr:to>
      <xdr:col>16</xdr:col>
      <xdr:colOff>38099</xdr:colOff>
      <xdr:row>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6D818E-612F-4866-AC44-55BB79954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i" refreshedDate="46111.930967824075" createdVersion="8" refreshedVersion="8" minRefreshableVersion="3" recordCount="14" xr:uid="{77A2D921-10C9-4A40-B241-F373F3324DB5}">
  <cacheSource type="worksheet">
    <worksheetSource ref="A1:J15" sheet="Data_Processing"/>
  </cacheSource>
  <cacheFields count="11">
    <cacheField name="Order ID" numFmtId="0">
      <sharedItems containsSemiMixedTypes="0" containsString="0" containsNumber="1" containsInteger="1" minValue="1001" maxValue="1015"/>
    </cacheField>
    <cacheField name="Order Date" numFmtId="14">
      <sharedItems containsSemiMixedTypes="0" containsNonDate="0" containsDate="1" containsString="0" minDate="2025-01-05T00:00:00" maxDate="2025-05-02T00:00:00" count="14">
        <d v="2025-01-05T00:00:00"/>
        <d v="2025-01-07T00:00:00"/>
        <d v="2025-01-12T00:00:00"/>
        <d v="2025-01-15T00:00:00"/>
        <d v="2025-02-02T00:00:00"/>
        <d v="2025-02-10T00:00:00"/>
        <d v="2025-02-14T00:00:00"/>
        <d v="2025-02-20T00:00:00"/>
        <d v="2025-03-01T00:00:00"/>
        <d v="2025-03-05T00:00:00"/>
        <d v="2025-04-02T00:00:00"/>
        <d v="2025-04-10T00:00:00"/>
        <d v="2025-04-15T00:00:00"/>
        <d v="2025-05-01T00:00:00"/>
      </sharedItems>
      <fieldGroup par="10"/>
    </cacheField>
    <cacheField name="Customer ID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Product" numFmtId="0">
      <sharedItems count="14">
        <s v="Ergo Chair"/>
        <s v="iPhone 15"/>
        <s v="Basic Notebook"/>
        <s v="Monitor Stand"/>
        <s v="Desk Lamp"/>
        <s v="Macbook Pro"/>
        <s v="USB-C Cable"/>
        <s v="Coffee Table"/>
        <s v="Ballpoint Pens"/>
        <s v="Wireless Mouse"/>
        <s v="Web Cam"/>
        <s v="Paper Shredd."/>
        <s v="iPhone Case"/>
        <s v="Standing Desk"/>
      </sharedItems>
    </cacheField>
    <cacheField name="Category" numFmtId="0">
      <sharedItems count="3">
        <s v="Furniture"/>
        <s v="Tech"/>
        <s v="Office"/>
      </sharedItems>
    </cacheField>
    <cacheField name="Sales" numFmtId="0">
      <sharedItems containsSemiMixedTypes="0" containsString="0" containsNumber="1" minValue="5.5" maxValue="1800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-5" maxValue="300"/>
    </cacheField>
    <cacheField name="Days (Order Date)" numFmtId="0" databaseField="0">
      <fieldGroup base="1">
        <rangePr groupBy="days" startDate="2025-01-05T00:00:00" endDate="2025-05-02T00:00:00"/>
        <groupItems count="368">
          <s v="&lt;1/5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/2025"/>
        </groupItems>
      </fieldGroup>
    </cacheField>
    <cacheField name="Months (Order Date)" numFmtId="0" databaseField="0">
      <fieldGroup base="1">
        <rangePr groupBy="months" startDate="2025-01-05T00:00:00" endDate="2025-05-02T00:00:00"/>
        <groupItems count="14">
          <s v="&lt;1/5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1"/>
    <x v="0"/>
    <s v="C-502"/>
    <x v="0"/>
    <x v="0"/>
    <x v="0"/>
    <n v="250"/>
    <n v="2"/>
    <n v="45"/>
  </r>
  <r>
    <n v="1002"/>
    <x v="1"/>
    <s v="C-501"/>
    <x v="1"/>
    <x v="1"/>
    <x v="1"/>
    <n v="999"/>
    <n v="1"/>
    <n v="150"/>
  </r>
  <r>
    <n v="1003"/>
    <x v="2"/>
    <s v="C-503"/>
    <x v="2"/>
    <x v="2"/>
    <x v="2"/>
    <n v="5.5"/>
    <n v="10"/>
    <n v="2.1"/>
  </r>
  <r>
    <n v="1004"/>
    <x v="3"/>
    <s v="C-504"/>
    <x v="3"/>
    <x v="3"/>
    <x v="1"/>
    <n v="45"/>
    <n v="1"/>
    <n v="12"/>
  </r>
  <r>
    <n v="1005"/>
    <x v="4"/>
    <s v="C-502"/>
    <x v="0"/>
    <x v="4"/>
    <x v="0"/>
    <n v="35"/>
    <n v="1"/>
    <n v="-5"/>
  </r>
  <r>
    <n v="1006"/>
    <x v="5"/>
    <s v="C-505"/>
    <x v="1"/>
    <x v="5"/>
    <x v="1"/>
    <n v="1800"/>
    <n v="1"/>
    <n v="300"/>
  </r>
  <r>
    <n v="1007"/>
    <x v="6"/>
    <s v="C-501"/>
    <x v="1"/>
    <x v="6"/>
    <x v="1"/>
    <n v="15"/>
    <n v="3"/>
    <n v="7.5"/>
  </r>
  <r>
    <n v="1008"/>
    <x v="7"/>
    <s v="C-506"/>
    <x v="2"/>
    <x v="7"/>
    <x v="0"/>
    <n v="120"/>
    <n v="1"/>
    <n v="20"/>
  </r>
  <r>
    <n v="1009"/>
    <x v="8"/>
    <s v="C-503"/>
    <x v="2"/>
    <x v="8"/>
    <x v="2"/>
    <n v="12"/>
    <n v="5"/>
    <n v="6"/>
  </r>
  <r>
    <n v="1010"/>
    <x v="9"/>
    <s v="C-504"/>
    <x v="3"/>
    <x v="9"/>
    <x v="1"/>
    <n v="25"/>
    <n v="2"/>
    <n v="10"/>
  </r>
  <r>
    <n v="1012"/>
    <x v="10"/>
    <s v="C-507"/>
    <x v="1"/>
    <x v="10"/>
    <x v="1"/>
    <n v="65"/>
    <n v="1"/>
    <n v="22"/>
  </r>
  <r>
    <n v="1013"/>
    <x v="11"/>
    <s v="C-508"/>
    <x v="0"/>
    <x v="11"/>
    <x v="2"/>
    <n v="110"/>
    <n v="1"/>
    <n v="35"/>
  </r>
  <r>
    <n v="1014"/>
    <x v="12"/>
    <s v="C-501"/>
    <x v="1"/>
    <x v="12"/>
    <x v="1"/>
    <n v="25"/>
    <n v="2"/>
    <n v="12"/>
  </r>
  <r>
    <n v="1015"/>
    <x v="13"/>
    <s v="C-506"/>
    <x v="2"/>
    <x v="13"/>
    <x v="0"/>
    <n v="450"/>
    <n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1527C-E101-4FE8-AD56-B2335B6798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 ">
  <location ref="D19:E25" firstHeaderRow="1" firstDataRow="1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 " fld="6" baseField="10" baseItem="1"/>
  </dataFields>
  <formats count="7">
    <format dxfId="9">
      <pivotArea grandRow="1" outline="0" collapsedLevelsAreSubtotals="1" fieldPosition="0"/>
    </format>
    <format dxfId="8">
      <pivotArea dataOnly="0" grandRow="1" axis="axisRow" fieldPosition="0"/>
    </format>
    <format dxfId="7">
      <pivotArea collapsedLevelsAreSubtotals="1" fieldPosition="0">
        <references count="1">
          <reference field="10" count="1">
            <x v="1"/>
          </reference>
        </references>
      </pivotArea>
    </format>
    <format dxfId="6">
      <pivotArea collapsedLevelsAreSubtotals="1" fieldPosition="0">
        <references count="1">
          <reference field="10" count="1">
            <x v="2"/>
          </reference>
        </references>
      </pivotArea>
    </format>
    <format dxfId="5">
      <pivotArea collapsedLevelsAreSubtotals="1" fieldPosition="0">
        <references count="1">
          <reference field="10" count="1">
            <x v="3"/>
          </reference>
        </references>
      </pivotArea>
    </format>
    <format dxfId="4">
      <pivotArea collapsedLevelsAreSubtotals="1" fieldPosition="0">
        <references count="1">
          <reference field="10" count="1">
            <x v="4"/>
          </reference>
        </references>
      </pivotArea>
    </format>
    <format dxfId="3">
      <pivotArea collapsedLevelsAreSubtotals="1" fieldPosition="0">
        <references count="1">
          <reference field="10" count="1">
            <x v="5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3500B-1C59-4D4F-A93E-FF088BDEA2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 ">
  <location ref="D11:E15" firstHeaderRow="1" firstDataRow="1" firstDataCol="1"/>
  <pivotFields count="11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Orders" fld="0" subtotal="count" baseField="5" baseItem="2"/>
  </dataFields>
  <formats count="2">
    <format dxfId="11">
      <pivotArea grandRow="1" outline="0" collapsedLevelsAreSubtotals="1" fieldPosition="0"/>
    </format>
    <format dxfId="1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1696F-9DCA-46D3-9DD8-2F48278BA5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">
  <location ref="D3:E8" firstHeaderRow="1" firstDataRow="1" firstDataCol="1" rowPageCount="1" colPageCount="1"/>
  <pivotFields count="11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Total Orders " fld="0" subtotal="count" baseField="3" baseItem="3"/>
  </dataFields>
  <formats count="2"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F6E42-3FB1-4CA6-9288-177A6D90D7B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gion ">
  <location ref="A3:B8" firstHeaderRow="1" firstDataRow="1" firstDataCol="1" rowPageCount="1" colPageCount="1"/>
  <pivotFields count="11">
    <pivotField showAll="0"/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Revenue " fld="6" baseField="3" baseItem="3"/>
  </dataFields>
  <formats count="6">
    <format dxfId="19">
      <pivotArea grandRow="1" outline="0" collapsedLevelsAreSubtotals="1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collapsedLevelsAreSubtotals="1" fieldPosition="0">
        <references count="1">
          <reference field="3" count="0"/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827DB-7273-4884-95CB-B22299A6BA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 ">
  <location ref="A10:B25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15">
        <item x="8"/>
        <item x="2"/>
        <item x="7"/>
        <item x="4"/>
        <item x="0"/>
        <item x="1"/>
        <item x="12"/>
        <item x="5"/>
        <item x="3"/>
        <item x="11"/>
        <item x="13"/>
        <item x="6"/>
        <item x="1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5">
    <i>
      <x v="7"/>
    </i>
    <i>
      <x v="5"/>
    </i>
    <i>
      <x v="10"/>
    </i>
    <i>
      <x v="4"/>
    </i>
    <i>
      <x v="2"/>
    </i>
    <i>
      <x v="9"/>
    </i>
    <i>
      <x v="12"/>
    </i>
    <i>
      <x v="8"/>
    </i>
    <i>
      <x v="3"/>
    </i>
    <i>
      <x v="13"/>
    </i>
    <i>
      <x v="6"/>
    </i>
    <i>
      <x v="11"/>
    </i>
    <i>
      <x/>
    </i>
    <i>
      <x v="1"/>
    </i>
    <i t="grand">
      <x/>
    </i>
  </rowItems>
  <colItems count="1">
    <i/>
  </colItems>
  <dataFields count="1">
    <dataField name="Revenue " fld="6" baseField="4" baseItem="7"/>
  </dataFields>
  <formats count="4">
    <format dxfId="23">
      <pivotArea grandRow="1" outline="0" collapsedLevelsAreSubtotals="1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C8B2-AE8E-4F5B-AE79-F1F6B6B6A6DF}">
  <dimension ref="A1:C14"/>
  <sheetViews>
    <sheetView workbookViewId="0">
      <selection activeCell="F4" sqref="F4"/>
    </sheetView>
  </sheetViews>
  <sheetFormatPr defaultRowHeight="15" x14ac:dyDescent="0.25"/>
  <cols>
    <col min="1" max="1" width="15.7109375" style="30" customWidth="1"/>
    <col min="2" max="2" width="18.28515625" style="30" customWidth="1"/>
    <col min="3" max="3" width="33.5703125" style="30" customWidth="1"/>
    <col min="4" max="16384" width="9.140625" style="30"/>
  </cols>
  <sheetData>
    <row r="1" spans="1:3" ht="30.75" thickBot="1" x14ac:dyDescent="0.3">
      <c r="A1" s="35" t="s">
        <v>5</v>
      </c>
      <c r="B1" s="35" t="s">
        <v>80</v>
      </c>
      <c r="C1" s="2" t="s">
        <v>81</v>
      </c>
    </row>
    <row r="2" spans="1:3" ht="171.75" thickBot="1" x14ac:dyDescent="0.3">
      <c r="A2" s="35" t="s">
        <v>82</v>
      </c>
      <c r="B2" s="35" t="s">
        <v>83</v>
      </c>
      <c r="C2" s="5" t="s">
        <v>84</v>
      </c>
    </row>
    <row r="3" spans="1:3" ht="15.75" thickBot="1" x14ac:dyDescent="0.3">
      <c r="A3" s="36"/>
      <c r="B3" s="35" t="s">
        <v>85</v>
      </c>
      <c r="C3" s="5" t="s">
        <v>107</v>
      </c>
    </row>
    <row r="4" spans="1:3" ht="157.5" thickBot="1" x14ac:dyDescent="0.3">
      <c r="A4" s="36"/>
      <c r="B4" s="35" t="s">
        <v>86</v>
      </c>
      <c r="C4" s="5" t="s">
        <v>87</v>
      </c>
    </row>
    <row r="5" spans="1:3" ht="157.5" thickBot="1" x14ac:dyDescent="0.3">
      <c r="A5" s="35" t="s">
        <v>88</v>
      </c>
      <c r="B5" s="35" t="s">
        <v>89</v>
      </c>
      <c r="C5" s="5" t="s">
        <v>90</v>
      </c>
    </row>
    <row r="6" spans="1:3" ht="143.25" thickBot="1" x14ac:dyDescent="0.3">
      <c r="A6" s="36"/>
      <c r="B6" s="35" t="s">
        <v>91</v>
      </c>
      <c r="C6" s="5" t="s">
        <v>92</v>
      </c>
    </row>
    <row r="7" spans="1:3" ht="30.75" thickBot="1" x14ac:dyDescent="0.3">
      <c r="A7" s="35" t="s">
        <v>93</v>
      </c>
      <c r="B7" s="35" t="s">
        <v>0</v>
      </c>
      <c r="C7" s="5" t="s">
        <v>94</v>
      </c>
    </row>
    <row r="8" spans="1:3" ht="29.25" thickBot="1" x14ac:dyDescent="0.3">
      <c r="A8" s="36"/>
      <c r="B8" s="35" t="s">
        <v>3</v>
      </c>
      <c r="C8" s="5" t="s">
        <v>95</v>
      </c>
    </row>
    <row r="9" spans="1:3" ht="29.25" thickBot="1" x14ac:dyDescent="0.3">
      <c r="A9" s="36"/>
      <c r="B9" s="35" t="s">
        <v>5</v>
      </c>
      <c r="C9" s="5" t="s">
        <v>96</v>
      </c>
    </row>
    <row r="10" spans="1:3" ht="15.75" thickBot="1" x14ac:dyDescent="0.3">
      <c r="A10" s="36"/>
      <c r="B10" s="35" t="s">
        <v>97</v>
      </c>
      <c r="C10" s="5" t="s">
        <v>98</v>
      </c>
    </row>
    <row r="11" spans="1:3" ht="43.5" thickBot="1" x14ac:dyDescent="0.3">
      <c r="A11" s="36"/>
      <c r="B11" s="35" t="s">
        <v>40</v>
      </c>
      <c r="C11" s="5" t="s">
        <v>99</v>
      </c>
    </row>
    <row r="12" spans="1:3" ht="43.5" thickBot="1" x14ac:dyDescent="0.3">
      <c r="A12" s="35" t="s">
        <v>100</v>
      </c>
      <c r="B12" s="35" t="s">
        <v>101</v>
      </c>
      <c r="C12" s="5" t="s">
        <v>102</v>
      </c>
    </row>
    <row r="13" spans="1:3" ht="43.5" thickBot="1" x14ac:dyDescent="0.3">
      <c r="A13" s="36"/>
      <c r="B13" s="35" t="s">
        <v>103</v>
      </c>
      <c r="C13" s="5" t="s">
        <v>104</v>
      </c>
    </row>
    <row r="14" spans="1:3" ht="29.25" thickBot="1" x14ac:dyDescent="0.3">
      <c r="A14" s="36"/>
      <c r="B14" s="35" t="s">
        <v>105</v>
      </c>
      <c r="C14" s="5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E05A-17F0-46D2-87AF-0AAC47B763C4}">
  <dimension ref="A1:I17"/>
  <sheetViews>
    <sheetView workbookViewId="0"/>
  </sheetViews>
  <sheetFormatPr defaultRowHeight="15" x14ac:dyDescent="0.25"/>
  <cols>
    <col min="1" max="1" width="8.28515625" bestFit="1" customWidth="1"/>
    <col min="2" max="2" width="11.42578125" bestFit="1" customWidth="1"/>
    <col min="3" max="3" width="8.85546875" bestFit="1" customWidth="1"/>
    <col min="6" max="6" width="8.7109375" bestFit="1" customWidth="1"/>
    <col min="7" max="7" width="7.85546875" bestFit="1" customWidth="1"/>
    <col min="8" max="8" width="9" bestFit="1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29.25" thickBot="1" x14ac:dyDescent="0.3">
      <c r="A2" s="3">
        <v>1001</v>
      </c>
      <c r="B2" s="4">
        <v>45662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250</v>
      </c>
      <c r="H2" s="3">
        <v>2</v>
      </c>
      <c r="I2" s="5">
        <v>45</v>
      </c>
    </row>
    <row r="3" spans="1:9" ht="29.25" thickBot="1" x14ac:dyDescent="0.3">
      <c r="A3" s="3">
        <v>1002</v>
      </c>
      <c r="B3" s="4">
        <v>45664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999</v>
      </c>
      <c r="H3" s="3">
        <v>1</v>
      </c>
      <c r="I3" s="5">
        <v>150</v>
      </c>
    </row>
    <row r="4" spans="1:9" ht="43.5" thickBot="1" x14ac:dyDescent="0.3">
      <c r="A4" s="3">
        <v>1003</v>
      </c>
      <c r="B4" s="4">
        <v>45669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5.5</v>
      </c>
      <c r="H4" s="3">
        <v>10</v>
      </c>
      <c r="I4" s="5">
        <v>2.1</v>
      </c>
    </row>
    <row r="5" spans="1:9" ht="29.25" thickBot="1" x14ac:dyDescent="0.3">
      <c r="A5" s="3">
        <v>1004</v>
      </c>
      <c r="B5" s="4">
        <v>45672</v>
      </c>
      <c r="C5" s="3" t="s">
        <v>21</v>
      </c>
      <c r="D5" s="3" t="s">
        <v>22</v>
      </c>
      <c r="E5" s="3" t="s">
        <v>23</v>
      </c>
      <c r="F5" s="3" t="s">
        <v>16</v>
      </c>
      <c r="G5" s="3">
        <v>45</v>
      </c>
      <c r="H5" s="3">
        <v>1</v>
      </c>
      <c r="I5" s="5">
        <v>12</v>
      </c>
    </row>
    <row r="6" spans="1:9" ht="29.25" thickBot="1" x14ac:dyDescent="0.3">
      <c r="A6" s="3">
        <v>1005</v>
      </c>
      <c r="B6" s="4">
        <v>45690</v>
      </c>
      <c r="C6" s="3" t="s">
        <v>9</v>
      </c>
      <c r="D6" s="3" t="s">
        <v>10</v>
      </c>
      <c r="E6" s="3" t="s">
        <v>24</v>
      </c>
      <c r="F6" s="3" t="s">
        <v>12</v>
      </c>
      <c r="G6" s="3">
        <v>35</v>
      </c>
      <c r="H6" s="3">
        <v>1</v>
      </c>
      <c r="I6" s="5">
        <v>-5</v>
      </c>
    </row>
    <row r="7" spans="1:9" ht="29.25" thickBot="1" x14ac:dyDescent="0.3">
      <c r="A7" s="3">
        <v>1006</v>
      </c>
      <c r="B7" s="4">
        <v>45698</v>
      </c>
      <c r="C7" s="3" t="s">
        <v>25</v>
      </c>
      <c r="D7" s="3" t="s">
        <v>14</v>
      </c>
      <c r="E7" s="3" t="s">
        <v>26</v>
      </c>
      <c r="F7" s="3" t="s">
        <v>16</v>
      </c>
      <c r="G7" s="3">
        <v>1800</v>
      </c>
      <c r="H7" s="3">
        <v>1</v>
      </c>
      <c r="I7" s="5">
        <v>300</v>
      </c>
    </row>
    <row r="8" spans="1:9" ht="29.25" thickBot="1" x14ac:dyDescent="0.3">
      <c r="A8" s="3">
        <v>1006</v>
      </c>
      <c r="B8" s="4">
        <v>45698</v>
      </c>
      <c r="C8" s="3" t="s">
        <v>25</v>
      </c>
      <c r="D8" s="3" t="s">
        <v>14</v>
      </c>
      <c r="E8" s="3" t="s">
        <v>26</v>
      </c>
      <c r="F8" s="3" t="s">
        <v>16</v>
      </c>
      <c r="G8" s="3">
        <v>1800</v>
      </c>
      <c r="H8" s="3">
        <v>1</v>
      </c>
      <c r="I8" s="5">
        <v>300</v>
      </c>
    </row>
    <row r="9" spans="1:9" ht="29.25" thickBot="1" x14ac:dyDescent="0.3">
      <c r="A9" s="3">
        <v>1007</v>
      </c>
      <c r="B9" s="4">
        <v>45702</v>
      </c>
      <c r="C9" s="3" t="s">
        <v>13</v>
      </c>
      <c r="D9" s="3" t="s">
        <v>14</v>
      </c>
      <c r="E9" s="3" t="s">
        <v>27</v>
      </c>
      <c r="F9" s="3" t="s">
        <v>16</v>
      </c>
      <c r="G9" s="3">
        <v>15</v>
      </c>
      <c r="H9" s="3">
        <v>3</v>
      </c>
      <c r="I9" s="5">
        <v>7.5</v>
      </c>
    </row>
    <row r="10" spans="1:9" ht="29.25" thickBot="1" x14ac:dyDescent="0.3">
      <c r="A10" s="3">
        <v>1008</v>
      </c>
      <c r="B10" s="4">
        <v>45708</v>
      </c>
      <c r="C10" s="3" t="s">
        <v>28</v>
      </c>
      <c r="D10" s="3" t="s">
        <v>18</v>
      </c>
      <c r="E10" s="3" t="s">
        <v>29</v>
      </c>
      <c r="F10" s="3" t="s">
        <v>12</v>
      </c>
      <c r="G10" s="3">
        <v>120</v>
      </c>
      <c r="H10" s="3">
        <v>1</v>
      </c>
      <c r="I10" s="5">
        <v>20</v>
      </c>
    </row>
    <row r="11" spans="1:9" ht="43.5" thickBot="1" x14ac:dyDescent="0.3">
      <c r="A11" s="3">
        <v>1009</v>
      </c>
      <c r="B11" s="4">
        <v>45717</v>
      </c>
      <c r="C11" s="3" t="s">
        <v>17</v>
      </c>
      <c r="D11" s="3" t="s">
        <v>18</v>
      </c>
      <c r="E11" s="3" t="s">
        <v>30</v>
      </c>
      <c r="F11" s="3" t="s">
        <v>20</v>
      </c>
      <c r="G11" s="3">
        <v>12</v>
      </c>
      <c r="H11" s="3">
        <v>5</v>
      </c>
      <c r="I11" s="5">
        <v>6</v>
      </c>
    </row>
    <row r="12" spans="1:9" ht="43.5" thickBot="1" x14ac:dyDescent="0.3">
      <c r="A12" s="3">
        <v>1010</v>
      </c>
      <c r="B12" s="4">
        <v>45721</v>
      </c>
      <c r="C12" s="3" t="s">
        <v>21</v>
      </c>
      <c r="D12" s="3" t="s">
        <v>22</v>
      </c>
      <c r="E12" s="3" t="s">
        <v>31</v>
      </c>
      <c r="F12" s="3" t="s">
        <v>16</v>
      </c>
      <c r="G12" s="3">
        <v>25</v>
      </c>
      <c r="H12" s="3">
        <v>2</v>
      </c>
      <c r="I12" s="5">
        <v>10</v>
      </c>
    </row>
    <row r="13" spans="1:9" ht="29.25" thickBot="1" x14ac:dyDescent="0.3">
      <c r="A13" s="3">
        <v>1011</v>
      </c>
      <c r="B13" s="4">
        <v>45731</v>
      </c>
      <c r="C13" s="3" t="s">
        <v>9</v>
      </c>
      <c r="D13" s="3" t="s">
        <v>10</v>
      </c>
      <c r="E13" s="3" t="s">
        <v>32</v>
      </c>
      <c r="F13" s="3" t="s">
        <v>12</v>
      </c>
      <c r="G13" s="3">
        <v>85</v>
      </c>
      <c r="H13" s="3"/>
      <c r="I13" s="5">
        <v>15</v>
      </c>
    </row>
    <row r="14" spans="1:9" ht="29.25" thickBot="1" x14ac:dyDescent="0.3">
      <c r="A14" s="3">
        <v>1012</v>
      </c>
      <c r="B14" s="4">
        <v>45749</v>
      </c>
      <c r="C14" s="3" t="s">
        <v>33</v>
      </c>
      <c r="D14" s="3" t="s">
        <v>14</v>
      </c>
      <c r="E14" s="3" t="s">
        <v>34</v>
      </c>
      <c r="F14" s="3" t="s">
        <v>16</v>
      </c>
      <c r="G14" s="3">
        <v>65</v>
      </c>
      <c r="H14" s="3">
        <v>1</v>
      </c>
      <c r="I14" s="5">
        <v>22</v>
      </c>
    </row>
    <row r="15" spans="1:9" ht="43.5" thickBot="1" x14ac:dyDescent="0.3">
      <c r="A15" s="3">
        <v>1013</v>
      </c>
      <c r="B15" s="4">
        <v>45757</v>
      </c>
      <c r="C15" s="3" t="s">
        <v>35</v>
      </c>
      <c r="D15" s="3" t="s">
        <v>10</v>
      </c>
      <c r="E15" s="3" t="s">
        <v>36</v>
      </c>
      <c r="F15" s="3" t="s">
        <v>20</v>
      </c>
      <c r="G15" s="3">
        <v>110</v>
      </c>
      <c r="H15" s="3">
        <v>1</v>
      </c>
      <c r="I15" s="5">
        <v>35</v>
      </c>
    </row>
    <row r="16" spans="1:9" ht="29.25" thickBot="1" x14ac:dyDescent="0.3">
      <c r="A16" s="3">
        <v>1014</v>
      </c>
      <c r="B16" s="4">
        <v>45762</v>
      </c>
      <c r="C16" s="3" t="s">
        <v>13</v>
      </c>
      <c r="D16" s="3" t="s">
        <v>14</v>
      </c>
      <c r="E16" s="3" t="s">
        <v>37</v>
      </c>
      <c r="F16" s="3" t="s">
        <v>16</v>
      </c>
      <c r="G16" s="3">
        <v>25</v>
      </c>
      <c r="H16" s="3">
        <v>2</v>
      </c>
      <c r="I16" s="5">
        <v>12</v>
      </c>
    </row>
    <row r="17" spans="1:9" ht="43.5" thickBot="1" x14ac:dyDescent="0.3">
      <c r="A17" s="3">
        <v>1015</v>
      </c>
      <c r="B17" s="4">
        <v>45778</v>
      </c>
      <c r="C17" s="3" t="s">
        <v>28</v>
      </c>
      <c r="D17" s="3" t="s">
        <v>18</v>
      </c>
      <c r="E17" s="3" t="s">
        <v>38</v>
      </c>
      <c r="F17" s="3" t="s">
        <v>12</v>
      </c>
      <c r="G17" s="3">
        <v>450</v>
      </c>
      <c r="H17" s="3">
        <v>1</v>
      </c>
      <c r="I17" s="5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C322-2575-46BA-89EE-FACE5E742591}">
  <dimension ref="A1:C9"/>
  <sheetViews>
    <sheetView workbookViewId="0"/>
  </sheetViews>
  <sheetFormatPr defaultRowHeight="15" x14ac:dyDescent="0.25"/>
  <sheetData>
    <row r="1" spans="1:3" ht="45.75" thickBot="1" x14ac:dyDescent="0.3">
      <c r="A1" s="1" t="s">
        <v>2</v>
      </c>
      <c r="B1" s="1" t="s">
        <v>39</v>
      </c>
      <c r="C1" s="2" t="s">
        <v>40</v>
      </c>
    </row>
    <row r="2" spans="1:3" ht="43.5" thickBot="1" x14ac:dyDescent="0.3">
      <c r="A2" s="3" t="s">
        <v>13</v>
      </c>
      <c r="B2" s="3" t="s">
        <v>41</v>
      </c>
      <c r="C2" s="5" t="s">
        <v>42</v>
      </c>
    </row>
    <row r="3" spans="1:3" ht="29.25" thickBot="1" x14ac:dyDescent="0.3">
      <c r="A3" s="3" t="s">
        <v>9</v>
      </c>
      <c r="B3" s="3" t="s">
        <v>43</v>
      </c>
      <c r="C3" s="5" t="s">
        <v>44</v>
      </c>
    </row>
    <row r="4" spans="1:3" ht="29.25" thickBot="1" x14ac:dyDescent="0.3">
      <c r="A4" s="3" t="s">
        <v>17</v>
      </c>
      <c r="B4" s="3" t="s">
        <v>45</v>
      </c>
      <c r="C4" s="5" t="s">
        <v>46</v>
      </c>
    </row>
    <row r="5" spans="1:3" ht="29.25" thickBot="1" x14ac:dyDescent="0.3">
      <c r="A5" s="3" t="s">
        <v>21</v>
      </c>
      <c r="B5" s="3" t="s">
        <v>47</v>
      </c>
      <c r="C5" s="5" t="s">
        <v>42</v>
      </c>
    </row>
    <row r="6" spans="1:3" ht="29.25" thickBot="1" x14ac:dyDescent="0.3">
      <c r="A6" s="3" t="s">
        <v>25</v>
      </c>
      <c r="B6" s="3" t="s">
        <v>48</v>
      </c>
      <c r="C6" s="5" t="s">
        <v>44</v>
      </c>
    </row>
    <row r="7" spans="1:3" ht="29.25" thickBot="1" x14ac:dyDescent="0.3">
      <c r="A7" s="3" t="s">
        <v>28</v>
      </c>
      <c r="B7" s="3" t="s">
        <v>49</v>
      </c>
      <c r="C7" s="5" t="s">
        <v>46</v>
      </c>
    </row>
    <row r="8" spans="1:3" ht="29.25" thickBot="1" x14ac:dyDescent="0.3">
      <c r="A8" s="3" t="s">
        <v>33</v>
      </c>
      <c r="B8" s="3" t="s">
        <v>50</v>
      </c>
      <c r="C8" s="5" t="s">
        <v>42</v>
      </c>
    </row>
    <row r="9" spans="1:3" ht="29.25" thickBot="1" x14ac:dyDescent="0.3">
      <c r="A9" s="3" t="s">
        <v>35</v>
      </c>
      <c r="B9" s="3" t="s">
        <v>51</v>
      </c>
      <c r="C9" s="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/>
  </sheetViews>
  <sheetFormatPr defaultRowHeight="15" x14ac:dyDescent="0.25"/>
  <cols>
    <col min="1" max="1" width="10.5703125" bestFit="1" customWidth="1"/>
    <col min="2" max="2" width="11.42578125" bestFit="1" customWidth="1"/>
    <col min="3" max="3" width="14.42578125" bestFit="1" customWidth="1"/>
    <col min="4" max="4" width="13.5703125" bestFit="1" customWidth="1"/>
    <col min="5" max="5" width="11.140625" bestFit="1" customWidth="1"/>
    <col min="6" max="6" width="12.5703125" bestFit="1" customWidth="1"/>
    <col min="7" max="7" width="13.7109375" customWidth="1"/>
    <col min="8" max="8" width="10.140625" bestFit="1" customWidth="1"/>
    <col min="9" max="9" width="13" bestFit="1" customWidth="1"/>
    <col min="10" max="10" width="8.85546875" bestFit="1" customWidth="1"/>
    <col min="11" max="11" width="12.140625" bestFit="1" customWidth="1"/>
    <col min="16" max="16" width="12.85546875" bestFit="1" customWidth="1"/>
  </cols>
  <sheetData>
    <row r="1" spans="1:16" ht="30.75" thickBot="1" x14ac:dyDescent="0.35">
      <c r="A1" s="1" t="s">
        <v>0</v>
      </c>
      <c r="B1" s="1" t="s">
        <v>1</v>
      </c>
      <c r="C1" s="1" t="s">
        <v>2</v>
      </c>
      <c r="D1" s="14" t="s">
        <v>39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4" t="s">
        <v>8</v>
      </c>
      <c r="K1" s="14" t="s">
        <v>40</v>
      </c>
      <c r="O1" s="28"/>
    </row>
    <row r="2" spans="1:16" ht="29.25" thickBot="1" x14ac:dyDescent="0.3">
      <c r="A2" s="3">
        <v>1006</v>
      </c>
      <c r="B2" s="4">
        <v>45698</v>
      </c>
      <c r="C2" s="3" t="s">
        <v>25</v>
      </c>
      <c r="D2" s="15" t="str">
        <f>_xlfn.XLOOKUP(C2,Raw_Customer_Lookup!A:A,Raw_Customer_Lookup!B:B)</f>
        <v>Eve Davis</v>
      </c>
      <c r="E2" s="3" t="s">
        <v>14</v>
      </c>
      <c r="F2" s="3" t="s">
        <v>26</v>
      </c>
      <c r="G2" s="3" t="s">
        <v>16</v>
      </c>
      <c r="H2" s="3">
        <v>1800</v>
      </c>
      <c r="I2" s="16">
        <v>1</v>
      </c>
      <c r="J2" s="18">
        <v>300</v>
      </c>
      <c r="K2" s="15" t="str">
        <f>_xlfn.XLOOKUP(C2,Raw_Customer_Lookup!A:A,Raw_Customer_Lookup!C:C)</f>
        <v>Corporate</v>
      </c>
      <c r="O2" s="29"/>
      <c r="P2" s="29"/>
    </row>
    <row r="3" spans="1:16" ht="15.75" thickBot="1" x14ac:dyDescent="0.3">
      <c r="A3" s="3">
        <v>1002</v>
      </c>
      <c r="B3" s="4">
        <v>45664</v>
      </c>
      <c r="C3" s="3" t="s">
        <v>13</v>
      </c>
      <c r="D3" s="15" t="str">
        <f>_xlfn.XLOOKUP(C3,Raw_Customer_Lookup!A:A,Raw_Customer_Lookup!B:B)</f>
        <v>Alice Johnson</v>
      </c>
      <c r="E3" s="3" t="s">
        <v>14</v>
      </c>
      <c r="F3" s="3" t="s">
        <v>15</v>
      </c>
      <c r="G3" s="3" t="s">
        <v>16</v>
      </c>
      <c r="H3" s="3">
        <v>999</v>
      </c>
      <c r="I3" s="3">
        <v>1</v>
      </c>
      <c r="J3" s="17">
        <v>150</v>
      </c>
      <c r="K3" s="15" t="str">
        <f>_xlfn.XLOOKUP(C3,Raw_Customer_Lookup!A:A,Raw_Customer_Lookup!C:C)</f>
        <v>Consumer</v>
      </c>
      <c r="O3" s="30"/>
      <c r="P3" s="30"/>
    </row>
    <row r="4" spans="1:16" ht="29.25" thickBot="1" x14ac:dyDescent="0.3">
      <c r="A4" s="3">
        <v>1015</v>
      </c>
      <c r="B4" s="4">
        <v>45778</v>
      </c>
      <c r="C4" s="3" t="s">
        <v>28</v>
      </c>
      <c r="D4" s="15" t="str">
        <f>_xlfn.XLOOKUP(C4,Raw_Customer_Lookup!A:A,Raw_Customer_Lookup!B:B)</f>
        <v>Frank Wilson</v>
      </c>
      <c r="E4" s="3" t="s">
        <v>18</v>
      </c>
      <c r="F4" s="3" t="s">
        <v>38</v>
      </c>
      <c r="G4" s="3" t="s">
        <v>12</v>
      </c>
      <c r="H4" s="3">
        <v>450</v>
      </c>
      <c r="I4" s="3">
        <v>1</v>
      </c>
      <c r="J4" s="5">
        <v>80</v>
      </c>
      <c r="K4" s="15" t="str">
        <f>_xlfn.XLOOKUP(C4,Raw_Customer_Lookup!A:A,Raw_Customer_Lookup!C:C)</f>
        <v>Home Office</v>
      </c>
      <c r="O4" s="30"/>
      <c r="P4" s="31"/>
    </row>
    <row r="5" spans="1:16" ht="15.75" thickBot="1" x14ac:dyDescent="0.3">
      <c r="A5" s="3">
        <v>1001</v>
      </c>
      <c r="B5" s="4">
        <v>45662</v>
      </c>
      <c r="C5" s="3" t="s">
        <v>9</v>
      </c>
      <c r="D5" s="15" t="str">
        <f>_xlfn.XLOOKUP(C5,Raw_Customer_Lookup!A:A,Raw_Customer_Lookup!B:B)</f>
        <v>Bob Smith</v>
      </c>
      <c r="E5" s="3" t="s">
        <v>10</v>
      </c>
      <c r="F5" s="3" t="s">
        <v>11</v>
      </c>
      <c r="G5" s="3" t="s">
        <v>12</v>
      </c>
      <c r="H5" s="3">
        <v>250</v>
      </c>
      <c r="I5" s="3">
        <v>2</v>
      </c>
      <c r="J5" s="5">
        <v>45</v>
      </c>
      <c r="K5" s="15" t="str">
        <f>_xlfn.XLOOKUP(C5,Raw_Customer_Lookup!A:A,Raw_Customer_Lookup!C:C)</f>
        <v>Corporate</v>
      </c>
      <c r="O5" s="30"/>
      <c r="P5" s="30"/>
    </row>
    <row r="6" spans="1:16" ht="29.25" thickBot="1" x14ac:dyDescent="0.3">
      <c r="A6" s="3">
        <v>1008</v>
      </c>
      <c r="B6" s="4">
        <v>45708</v>
      </c>
      <c r="C6" s="3" t="s">
        <v>28</v>
      </c>
      <c r="D6" s="15" t="str">
        <f>_xlfn.XLOOKUP(C6,Raw_Customer_Lookup!A:A,Raw_Customer_Lookup!B:B)</f>
        <v>Frank Wilson</v>
      </c>
      <c r="E6" s="3" t="s">
        <v>18</v>
      </c>
      <c r="F6" s="3" t="s">
        <v>29</v>
      </c>
      <c r="G6" s="3" t="s">
        <v>12</v>
      </c>
      <c r="H6" s="3">
        <v>120</v>
      </c>
      <c r="I6" s="3">
        <v>1</v>
      </c>
      <c r="J6" s="5">
        <v>20</v>
      </c>
      <c r="K6" s="15" t="str">
        <f>_xlfn.XLOOKUP(C6,Raw_Customer_Lookup!A:A,Raw_Customer_Lookup!C:C)</f>
        <v>Home Office</v>
      </c>
      <c r="O6" s="30"/>
      <c r="P6" s="30"/>
    </row>
    <row r="7" spans="1:16" ht="29.25" thickBot="1" x14ac:dyDescent="0.3">
      <c r="A7" s="3">
        <v>1013</v>
      </c>
      <c r="B7" s="4">
        <v>45757</v>
      </c>
      <c r="C7" s="3" t="s">
        <v>35</v>
      </c>
      <c r="D7" s="15" t="str">
        <f>_xlfn.XLOOKUP(C7,Raw_Customer_Lookup!A:A,Raw_Customer_Lookup!B:B)</f>
        <v>Henry Ford</v>
      </c>
      <c r="E7" s="3" t="s">
        <v>10</v>
      </c>
      <c r="F7" s="3" t="s">
        <v>36</v>
      </c>
      <c r="G7" s="3" t="s">
        <v>20</v>
      </c>
      <c r="H7" s="3">
        <v>110</v>
      </c>
      <c r="I7" s="3">
        <v>1</v>
      </c>
      <c r="J7" s="5">
        <v>35</v>
      </c>
      <c r="K7" s="15" t="str">
        <f>_xlfn.XLOOKUP(C7,Raw_Customer_Lookup!A:A,Raw_Customer_Lookup!C:C)</f>
        <v>Corporate</v>
      </c>
      <c r="O7" s="30"/>
      <c r="P7" s="30"/>
    </row>
    <row r="8" spans="1:16" ht="15.75" thickBot="1" x14ac:dyDescent="0.3">
      <c r="A8" s="3">
        <v>1011</v>
      </c>
      <c r="B8" s="4">
        <v>45731</v>
      </c>
      <c r="C8" s="3" t="s">
        <v>9</v>
      </c>
      <c r="D8" s="15" t="str">
        <f>_xlfn.XLOOKUP(C8,Raw_Customer_Lookup!A:A,Raw_Customer_Lookup!B:B)</f>
        <v>Bob Smith</v>
      </c>
      <c r="E8" s="3" t="s">
        <v>10</v>
      </c>
      <c r="F8" s="3" t="s">
        <v>32</v>
      </c>
      <c r="G8" s="3" t="s">
        <v>12</v>
      </c>
      <c r="H8" s="3">
        <v>85</v>
      </c>
      <c r="I8" s="3">
        <v>1</v>
      </c>
      <c r="J8" s="5">
        <v>15</v>
      </c>
      <c r="K8" s="15" t="str">
        <f>_xlfn.XLOOKUP(C8,Raw_Customer_Lookup!A:A,Raw_Customer_Lookup!C:C)</f>
        <v>Corporate</v>
      </c>
      <c r="O8" s="30"/>
    </row>
    <row r="9" spans="1:16" ht="15.75" thickBot="1" x14ac:dyDescent="0.3">
      <c r="A9" s="3">
        <v>1012</v>
      </c>
      <c r="B9" s="4">
        <v>45749</v>
      </c>
      <c r="C9" s="3" t="s">
        <v>33</v>
      </c>
      <c r="D9" s="15" t="str">
        <f>_xlfn.XLOOKUP(C9,Raw_Customer_Lookup!A:A,Raw_Customer_Lookup!B:B)</f>
        <v>Grace Lee</v>
      </c>
      <c r="E9" s="3" t="s">
        <v>14</v>
      </c>
      <c r="F9" s="3" t="s">
        <v>34</v>
      </c>
      <c r="G9" s="3" t="s">
        <v>16</v>
      </c>
      <c r="H9" s="3">
        <v>65</v>
      </c>
      <c r="I9" s="3">
        <v>1</v>
      </c>
      <c r="J9" s="5">
        <v>22</v>
      </c>
      <c r="K9" s="15" t="str">
        <f>_xlfn.XLOOKUP(C9,Raw_Customer_Lookup!A:A,Raw_Customer_Lookup!C:C)</f>
        <v>Consumer</v>
      </c>
      <c r="O9" s="30"/>
      <c r="P9" s="32"/>
    </row>
    <row r="10" spans="1:16" ht="29.25" thickBot="1" x14ac:dyDescent="0.3">
      <c r="A10" s="3">
        <v>1004</v>
      </c>
      <c r="B10" s="4">
        <v>45672</v>
      </c>
      <c r="C10" s="3" t="s">
        <v>21</v>
      </c>
      <c r="D10" s="15" t="str">
        <f>_xlfn.XLOOKUP(C10,Raw_Customer_Lookup!A:A,Raw_Customer_Lookup!B:B)</f>
        <v>David Miller</v>
      </c>
      <c r="E10" s="3" t="s">
        <v>22</v>
      </c>
      <c r="F10" s="3" t="s">
        <v>23</v>
      </c>
      <c r="G10" s="3" t="s">
        <v>16</v>
      </c>
      <c r="H10" s="3">
        <v>45</v>
      </c>
      <c r="I10" s="3">
        <v>1</v>
      </c>
      <c r="J10" s="5">
        <v>12</v>
      </c>
      <c r="K10" s="15" t="str">
        <f>_xlfn.XLOOKUP(C10,Raw_Customer_Lookup!A:A,Raw_Customer_Lookup!C:C)</f>
        <v>Consumer</v>
      </c>
    </row>
    <row r="11" spans="1:16" ht="29.25" thickBot="1" x14ac:dyDescent="0.3">
      <c r="A11" s="3">
        <v>1005</v>
      </c>
      <c r="B11" s="4">
        <v>45690</v>
      </c>
      <c r="C11" s="3" t="s">
        <v>9</v>
      </c>
      <c r="D11" s="15" t="str">
        <f>_xlfn.XLOOKUP(C11,Raw_Customer_Lookup!A:A,Raw_Customer_Lookup!B:B)</f>
        <v>Bob Smith</v>
      </c>
      <c r="E11" s="3" t="s">
        <v>10</v>
      </c>
      <c r="F11" s="3" t="s">
        <v>24</v>
      </c>
      <c r="G11" s="3" t="s">
        <v>12</v>
      </c>
      <c r="H11" s="3">
        <v>35</v>
      </c>
      <c r="I11" s="3">
        <v>1</v>
      </c>
      <c r="J11" s="5">
        <v>-5</v>
      </c>
      <c r="K11" s="15" t="str">
        <f>_xlfn.XLOOKUP(C11,Raw_Customer_Lookup!A:A,Raw_Customer_Lookup!C:C)</f>
        <v>Corporate</v>
      </c>
    </row>
    <row r="12" spans="1:16" ht="29.25" thickBot="1" x14ac:dyDescent="0.3">
      <c r="A12" s="3">
        <v>1010</v>
      </c>
      <c r="B12" s="4">
        <v>45721</v>
      </c>
      <c r="C12" s="3" t="s">
        <v>21</v>
      </c>
      <c r="D12" s="15" t="str">
        <f>_xlfn.XLOOKUP(C12,Raw_Customer_Lookup!A:A,Raw_Customer_Lookup!B:B)</f>
        <v>David Miller</v>
      </c>
      <c r="E12" s="3" t="s">
        <v>22</v>
      </c>
      <c r="F12" s="3" t="s">
        <v>31</v>
      </c>
      <c r="G12" s="3" t="s">
        <v>16</v>
      </c>
      <c r="H12" s="3">
        <v>25</v>
      </c>
      <c r="I12" s="3">
        <v>2</v>
      </c>
      <c r="J12" s="5">
        <v>10</v>
      </c>
      <c r="K12" s="15" t="str">
        <f>_xlfn.XLOOKUP(C12,Raw_Customer_Lookup!A:A,Raw_Customer_Lookup!C:C)</f>
        <v>Consumer</v>
      </c>
    </row>
    <row r="13" spans="1:16" ht="29.25" thickBot="1" x14ac:dyDescent="0.3">
      <c r="A13" s="3">
        <v>1014</v>
      </c>
      <c r="B13" s="4">
        <v>45762</v>
      </c>
      <c r="C13" s="3" t="s">
        <v>13</v>
      </c>
      <c r="D13" s="15" t="str">
        <f>_xlfn.XLOOKUP(C13,Raw_Customer_Lookup!A:A,Raw_Customer_Lookup!B:B)</f>
        <v>Alice Johnson</v>
      </c>
      <c r="E13" s="3" t="s">
        <v>14</v>
      </c>
      <c r="F13" s="3" t="s">
        <v>37</v>
      </c>
      <c r="G13" s="3" t="s">
        <v>16</v>
      </c>
      <c r="H13" s="3">
        <v>25</v>
      </c>
      <c r="I13" s="3">
        <v>2</v>
      </c>
      <c r="J13" s="5">
        <v>12</v>
      </c>
      <c r="K13" s="15" t="str">
        <f>_xlfn.XLOOKUP(C13,Raw_Customer_Lookup!A:A,Raw_Customer_Lookup!C:C)</f>
        <v>Consumer</v>
      </c>
    </row>
    <row r="14" spans="1:16" ht="29.25" thickBot="1" x14ac:dyDescent="0.3">
      <c r="A14" s="3">
        <v>1007</v>
      </c>
      <c r="B14" s="4">
        <v>45702</v>
      </c>
      <c r="C14" s="3" t="s">
        <v>13</v>
      </c>
      <c r="D14" s="15" t="str">
        <f>_xlfn.XLOOKUP(C14,Raw_Customer_Lookup!A:A,Raw_Customer_Lookup!B:B)</f>
        <v>Alice Johnson</v>
      </c>
      <c r="E14" s="3" t="s">
        <v>14</v>
      </c>
      <c r="F14" s="3" t="s">
        <v>27</v>
      </c>
      <c r="G14" s="3" t="s">
        <v>16</v>
      </c>
      <c r="H14" s="3">
        <v>15</v>
      </c>
      <c r="I14" s="3">
        <v>3</v>
      </c>
      <c r="J14" s="5">
        <v>7.5</v>
      </c>
      <c r="K14" s="15" t="str">
        <f>_xlfn.XLOOKUP(C14,Raw_Customer_Lookup!A:A,Raw_Customer_Lookup!C:C)</f>
        <v>Consumer</v>
      </c>
    </row>
    <row r="15" spans="1:16" ht="29.25" thickBot="1" x14ac:dyDescent="0.3">
      <c r="A15" s="3">
        <v>1009</v>
      </c>
      <c r="B15" s="4">
        <v>45717</v>
      </c>
      <c r="C15" s="3" t="s">
        <v>17</v>
      </c>
      <c r="D15" s="15" t="str">
        <f>_xlfn.XLOOKUP(C15,Raw_Customer_Lookup!A:A,Raw_Customer_Lookup!B:B)</f>
        <v>Charlie Brown</v>
      </c>
      <c r="E15" s="3" t="s">
        <v>18</v>
      </c>
      <c r="F15" s="3" t="s">
        <v>30</v>
      </c>
      <c r="G15" s="3" t="s">
        <v>20</v>
      </c>
      <c r="H15" s="3">
        <v>12</v>
      </c>
      <c r="I15" s="3">
        <v>5</v>
      </c>
      <c r="J15" s="19">
        <v>6</v>
      </c>
      <c r="K15" s="15" t="str">
        <f>_xlfn.XLOOKUP(C15,Raw_Customer_Lookup!A:A,Raw_Customer_Lookup!C:C)</f>
        <v>Home Office</v>
      </c>
    </row>
    <row r="16" spans="1:16" ht="29.25" thickBot="1" x14ac:dyDescent="0.3">
      <c r="A16" s="3">
        <v>1003</v>
      </c>
      <c r="B16" s="4">
        <v>45669</v>
      </c>
      <c r="C16" s="3" t="s">
        <v>17</v>
      </c>
      <c r="D16" s="15" t="str">
        <f>_xlfn.XLOOKUP(C16,Raw_Customer_Lookup!A:A,Raw_Customer_Lookup!B:B)</f>
        <v>Charlie Brown</v>
      </c>
      <c r="E16" s="3" t="s">
        <v>18</v>
      </c>
      <c r="F16" s="3" t="s">
        <v>19</v>
      </c>
      <c r="G16" s="3" t="s">
        <v>20</v>
      </c>
      <c r="H16" s="3">
        <v>5.5</v>
      </c>
      <c r="I16" s="16">
        <v>10</v>
      </c>
      <c r="J16" s="18">
        <v>2.1</v>
      </c>
      <c r="K16" s="15" t="str">
        <f>_xlfn.XLOOKUP(C16,Raw_Customer_Lookup!A:A,Raw_Customer_Lookup!C:C)</f>
        <v>Home Office</v>
      </c>
    </row>
  </sheetData>
  <autoFilter ref="A1:J17" xr:uid="{00000000-0001-0000-0000-000000000000}">
    <sortState xmlns:xlrd2="http://schemas.microsoft.com/office/spreadsheetml/2017/richdata2" ref="A2:J17">
      <sortCondition descending="1" ref="H1:H17"/>
    </sortState>
  </autoFilter>
  <conditionalFormatting sqref="D1">
    <cfRule type="cellIs" dxfId="2" priority="1" operator="lessThan">
      <formula>0</formula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6374-A05D-480A-A201-CCAC836A4CD8}">
  <dimension ref="A1:H25"/>
  <sheetViews>
    <sheetView workbookViewId="0">
      <selection activeCell="S22" sqref="S22"/>
    </sheetView>
  </sheetViews>
  <sheetFormatPr defaultRowHeight="15" x14ac:dyDescent="0.25"/>
  <cols>
    <col min="1" max="1" width="15.28515625" bestFit="1" customWidth="1"/>
    <col min="2" max="2" width="10.5703125" bestFit="1" customWidth="1"/>
    <col min="4" max="4" width="11.28515625" bestFit="1" customWidth="1"/>
    <col min="5" max="5" width="12.28515625" bestFit="1" customWidth="1"/>
    <col min="7" max="7" width="21.7109375" bestFit="1" customWidth="1"/>
    <col min="8" max="8" width="7.7109375" bestFit="1" customWidth="1"/>
  </cols>
  <sheetData>
    <row r="1" spans="1:8" ht="19.5" thickBot="1" x14ac:dyDescent="0.35">
      <c r="A1" s="12" t="s">
        <v>1</v>
      </c>
      <c r="B1" t="s">
        <v>61</v>
      </c>
      <c r="D1" s="12" t="s">
        <v>5</v>
      </c>
      <c r="E1" t="s">
        <v>61</v>
      </c>
      <c r="G1" s="33" t="s">
        <v>67</v>
      </c>
      <c r="H1" s="34"/>
    </row>
    <row r="2" spans="1:8" x14ac:dyDescent="0.25">
      <c r="G2" s="6" t="s">
        <v>52</v>
      </c>
      <c r="H2" s="7" t="s">
        <v>73</v>
      </c>
    </row>
    <row r="3" spans="1:8" ht="30" x14ac:dyDescent="0.25">
      <c r="A3" s="12" t="s">
        <v>75</v>
      </c>
      <c r="B3" t="s">
        <v>79</v>
      </c>
      <c r="D3" s="12" t="s">
        <v>75</v>
      </c>
      <c r="E3" t="s">
        <v>74</v>
      </c>
      <c r="G3" s="8" t="s">
        <v>53</v>
      </c>
      <c r="H3" s="9">
        <f>SUM(Data_Processing!H:H)</f>
        <v>4041.5</v>
      </c>
    </row>
    <row r="4" spans="1:8" ht="45" x14ac:dyDescent="0.25">
      <c r="A4" s="13" t="s">
        <v>14</v>
      </c>
      <c r="B4" s="24">
        <v>2904</v>
      </c>
      <c r="D4" s="13" t="s">
        <v>14</v>
      </c>
      <c r="E4">
        <v>5</v>
      </c>
      <c r="G4" s="8" t="s">
        <v>54</v>
      </c>
      <c r="H4" s="23">
        <f>AVERAGE(Data_Processing!H:H)</f>
        <v>269.43333333333334</v>
      </c>
    </row>
    <row r="5" spans="1:8" ht="30" x14ac:dyDescent="0.25">
      <c r="A5" s="13" t="s">
        <v>18</v>
      </c>
      <c r="B5" s="24">
        <v>587.5</v>
      </c>
      <c r="D5" s="13" t="s">
        <v>18</v>
      </c>
      <c r="E5">
        <v>4</v>
      </c>
      <c r="G5" s="8" t="s">
        <v>55</v>
      </c>
      <c r="H5" s="9">
        <f>COUNT(Data_Processing!A:A)</f>
        <v>15</v>
      </c>
    </row>
    <row r="6" spans="1:8" ht="30" x14ac:dyDescent="0.25">
      <c r="A6" s="13" t="s">
        <v>10</v>
      </c>
      <c r="B6" s="24">
        <v>395</v>
      </c>
      <c r="D6" s="13" t="s">
        <v>10</v>
      </c>
      <c r="E6">
        <v>3</v>
      </c>
      <c r="G6" s="8" t="s">
        <v>56</v>
      </c>
      <c r="H6" s="9">
        <f>MAX(Data_Processing!H:H)</f>
        <v>1800</v>
      </c>
    </row>
    <row r="7" spans="1:8" ht="30.75" thickBot="1" x14ac:dyDescent="0.3">
      <c r="A7" s="13" t="s">
        <v>22</v>
      </c>
      <c r="B7" s="24">
        <v>70</v>
      </c>
      <c r="D7" s="13" t="s">
        <v>22</v>
      </c>
      <c r="E7">
        <v>2</v>
      </c>
      <c r="G7" s="10" t="s">
        <v>57</v>
      </c>
      <c r="H7" s="11">
        <f>MIN(Data_Processing!H:H)</f>
        <v>5.5</v>
      </c>
    </row>
    <row r="8" spans="1:8" ht="30.75" thickBot="1" x14ac:dyDescent="0.3">
      <c r="A8" s="25" t="s">
        <v>60</v>
      </c>
      <c r="B8" s="26">
        <v>3956.5</v>
      </c>
      <c r="D8" s="25" t="s">
        <v>60</v>
      </c>
      <c r="E8" s="27">
        <v>14</v>
      </c>
      <c r="G8" s="20" t="s">
        <v>58</v>
      </c>
      <c r="H8" s="15">
        <f>SUM(Data_Processing!J:J)</f>
        <v>711.6</v>
      </c>
    </row>
    <row r="9" spans="1:8" ht="30.75" thickBot="1" x14ac:dyDescent="0.3">
      <c r="G9" s="21" t="s">
        <v>59</v>
      </c>
      <c r="H9" s="22">
        <f>H8/H3</f>
        <v>0.17607324013361375</v>
      </c>
    </row>
    <row r="10" spans="1:8" x14ac:dyDescent="0.25">
      <c r="A10" s="12" t="s">
        <v>76</v>
      </c>
      <c r="B10" t="s">
        <v>79</v>
      </c>
    </row>
    <row r="11" spans="1:8" x14ac:dyDescent="0.25">
      <c r="A11" s="13" t="s">
        <v>26</v>
      </c>
      <c r="B11" s="24">
        <v>1800</v>
      </c>
      <c r="D11" s="12" t="s">
        <v>78</v>
      </c>
      <c r="E11" t="s">
        <v>55</v>
      </c>
    </row>
    <row r="12" spans="1:8" x14ac:dyDescent="0.25">
      <c r="A12" s="13" t="s">
        <v>15</v>
      </c>
      <c r="B12" s="24">
        <v>999</v>
      </c>
      <c r="D12" s="13" t="s">
        <v>16</v>
      </c>
      <c r="E12">
        <v>7</v>
      </c>
    </row>
    <row r="13" spans="1:8" x14ac:dyDescent="0.25">
      <c r="A13" s="13" t="s">
        <v>38</v>
      </c>
      <c r="B13" s="24">
        <v>450</v>
      </c>
      <c r="D13" s="13" t="s">
        <v>12</v>
      </c>
      <c r="E13">
        <v>4</v>
      </c>
    </row>
    <row r="14" spans="1:8" x14ac:dyDescent="0.25">
      <c r="A14" s="13" t="s">
        <v>11</v>
      </c>
      <c r="B14" s="24">
        <v>250</v>
      </c>
      <c r="D14" s="13" t="s">
        <v>20</v>
      </c>
      <c r="E14">
        <v>3</v>
      </c>
    </row>
    <row r="15" spans="1:8" x14ac:dyDescent="0.25">
      <c r="A15" s="13" t="s">
        <v>29</v>
      </c>
      <c r="B15" s="24">
        <v>120</v>
      </c>
      <c r="D15" s="25" t="s">
        <v>60</v>
      </c>
      <c r="E15" s="27">
        <v>14</v>
      </c>
    </row>
    <row r="16" spans="1:8" x14ac:dyDescent="0.25">
      <c r="A16" s="13" t="s">
        <v>36</v>
      </c>
      <c r="B16" s="24">
        <v>110</v>
      </c>
    </row>
    <row r="17" spans="1:5" x14ac:dyDescent="0.25">
      <c r="A17" s="13" t="s">
        <v>34</v>
      </c>
      <c r="B17" s="24">
        <v>65</v>
      </c>
    </row>
    <row r="18" spans="1:5" x14ac:dyDescent="0.25">
      <c r="A18" s="13" t="s">
        <v>23</v>
      </c>
      <c r="B18" s="24">
        <v>45</v>
      </c>
    </row>
    <row r="19" spans="1:5" x14ac:dyDescent="0.25">
      <c r="A19" s="13" t="s">
        <v>24</v>
      </c>
      <c r="B19" s="24">
        <v>35</v>
      </c>
      <c r="D19" s="12" t="s">
        <v>77</v>
      </c>
      <c r="E19" t="s">
        <v>79</v>
      </c>
    </row>
    <row r="20" spans="1:5" x14ac:dyDescent="0.25">
      <c r="A20" s="13" t="s">
        <v>31</v>
      </c>
      <c r="B20" s="24">
        <v>25</v>
      </c>
      <c r="D20" s="13" t="s">
        <v>62</v>
      </c>
      <c r="E20" s="24">
        <v>1299.5</v>
      </c>
    </row>
    <row r="21" spans="1:5" x14ac:dyDescent="0.25">
      <c r="A21" s="13" t="s">
        <v>37</v>
      </c>
      <c r="B21" s="24">
        <v>25</v>
      </c>
      <c r="D21" s="13" t="s">
        <v>63</v>
      </c>
      <c r="E21" s="24">
        <v>1970</v>
      </c>
    </row>
    <row r="22" spans="1:5" x14ac:dyDescent="0.25">
      <c r="A22" s="13" t="s">
        <v>27</v>
      </c>
      <c r="B22" s="24">
        <v>15</v>
      </c>
      <c r="D22" s="13" t="s">
        <v>64</v>
      </c>
      <c r="E22" s="24">
        <v>37</v>
      </c>
    </row>
    <row r="23" spans="1:5" x14ac:dyDescent="0.25">
      <c r="A23" s="13" t="s">
        <v>30</v>
      </c>
      <c r="B23" s="24">
        <v>12</v>
      </c>
      <c r="D23" s="13" t="s">
        <v>65</v>
      </c>
      <c r="E23" s="24">
        <v>200</v>
      </c>
    </row>
    <row r="24" spans="1:5" x14ac:dyDescent="0.25">
      <c r="A24" s="13" t="s">
        <v>19</v>
      </c>
      <c r="B24" s="24">
        <v>5.5</v>
      </c>
      <c r="D24" s="13" t="s">
        <v>66</v>
      </c>
      <c r="E24" s="24">
        <v>450</v>
      </c>
    </row>
    <row r="25" spans="1:5" x14ac:dyDescent="0.25">
      <c r="A25" s="25" t="s">
        <v>60</v>
      </c>
      <c r="B25" s="26">
        <v>3956.5</v>
      </c>
      <c r="D25" s="25" t="s">
        <v>60</v>
      </c>
      <c r="E25" s="26">
        <v>3956.5</v>
      </c>
    </row>
  </sheetData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C6A3-63A9-48CB-9BC7-CF3AC1D4B5B2}">
  <dimension ref="A1:B16"/>
  <sheetViews>
    <sheetView tabSelected="1" workbookViewId="0">
      <selection activeCell="K20" sqref="K20"/>
    </sheetView>
  </sheetViews>
  <sheetFormatPr defaultRowHeight="15" x14ac:dyDescent="0.25"/>
  <cols>
    <col min="1" max="1" width="10.28515625" bestFit="1" customWidth="1"/>
    <col min="2" max="2" width="44" customWidth="1"/>
  </cols>
  <sheetData>
    <row r="1" spans="1:2" ht="15.75" thickBot="1" x14ac:dyDescent="0.3">
      <c r="A1" s="1" t="s">
        <v>69</v>
      </c>
      <c r="B1" s="14" t="s">
        <v>68</v>
      </c>
    </row>
    <row r="2" spans="1:2" ht="43.5" thickBot="1" x14ac:dyDescent="0.3">
      <c r="A2" s="16">
        <v>1</v>
      </c>
      <c r="B2" s="18" t="s">
        <v>70</v>
      </c>
    </row>
    <row r="3" spans="1:2" ht="43.5" thickBot="1" x14ac:dyDescent="0.3">
      <c r="A3" s="39">
        <v>2</v>
      </c>
      <c r="B3" s="40" t="s">
        <v>71</v>
      </c>
    </row>
    <row r="4" spans="1:2" ht="43.5" thickBot="1" x14ac:dyDescent="0.3">
      <c r="A4" s="41">
        <v>3</v>
      </c>
      <c r="B4" s="42" t="s">
        <v>72</v>
      </c>
    </row>
    <row r="5" spans="1:2" x14ac:dyDescent="0.25">
      <c r="A5" s="37"/>
      <c r="B5" s="38"/>
    </row>
    <row r="6" spans="1:2" x14ac:dyDescent="0.25">
      <c r="A6" s="37"/>
      <c r="B6" s="38"/>
    </row>
    <row r="7" spans="1:2" x14ac:dyDescent="0.25">
      <c r="A7" s="37"/>
      <c r="B7" s="38"/>
    </row>
    <row r="8" spans="1:2" x14ac:dyDescent="0.25">
      <c r="A8" s="37"/>
      <c r="B8" s="38"/>
    </row>
    <row r="9" spans="1:2" x14ac:dyDescent="0.25">
      <c r="A9" s="37"/>
      <c r="B9" s="38"/>
    </row>
    <row r="10" spans="1:2" x14ac:dyDescent="0.25">
      <c r="A10" s="37"/>
      <c r="B10" s="38"/>
    </row>
    <row r="11" spans="1:2" x14ac:dyDescent="0.25">
      <c r="A11" s="37"/>
      <c r="B11" s="38"/>
    </row>
    <row r="12" spans="1:2" x14ac:dyDescent="0.25">
      <c r="A12" s="37"/>
      <c r="B12" s="38"/>
    </row>
    <row r="13" spans="1:2" x14ac:dyDescent="0.25">
      <c r="A13" s="37"/>
      <c r="B13" s="38"/>
    </row>
    <row r="14" spans="1:2" x14ac:dyDescent="0.25">
      <c r="A14" s="37"/>
      <c r="B14" s="38"/>
    </row>
    <row r="15" spans="1:2" x14ac:dyDescent="0.25">
      <c r="A15" s="37"/>
      <c r="B15" s="38"/>
    </row>
    <row r="16" spans="1:2" x14ac:dyDescent="0.25">
      <c r="A16" s="37"/>
      <c r="B16" s="38"/>
    </row>
  </sheetData>
  <conditionalFormatting sqref="B1:B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Raw_Sales_Data</vt:lpstr>
      <vt:lpstr>Raw_Customer_Lookup</vt:lpstr>
      <vt:lpstr>Data_Processing</vt:lpstr>
      <vt:lpstr>Pivots_Calculations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jamei</dc:creator>
  <cp:lastModifiedBy>Jameizie Guzman</cp:lastModifiedBy>
  <dcterms:created xsi:type="dcterms:W3CDTF">2015-06-05T18:17:20Z</dcterms:created>
  <dcterms:modified xsi:type="dcterms:W3CDTF">2026-04-23T19:31:07Z</dcterms:modified>
</cp:coreProperties>
</file>